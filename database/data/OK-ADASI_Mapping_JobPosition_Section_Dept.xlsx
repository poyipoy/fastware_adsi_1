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HRIALGI\Downloads\"/>
    </mc:Choice>
  </mc:AlternateContent>
  <xr:revisionPtr revIDLastSave="0" documentId="13_ncr:1_{6ED28FDF-E676-42A1-8B3F-6248731E31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pping (OK)" sheetId="4" r:id="rId1"/>
    <sheet name="Update Section &amp; Dept" sheetId="3" r:id="rId2"/>
  </sheets>
  <definedNames>
    <definedName name="_xlnm._FilterDatabase" localSheetId="0" hidden="1">'Mapping (OK)'!$C$1:$C$96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4" l="1"/>
  <c r="E79" i="4" s="1"/>
  <c r="D76" i="4"/>
  <c r="E76" i="4" s="1"/>
  <c r="D15" i="4"/>
  <c r="E15" i="4" s="1"/>
</calcChain>
</file>

<file path=xl/sharedStrings.xml><?xml version="1.0" encoding="utf-8"?>
<sst xmlns="http://schemas.openxmlformats.org/spreadsheetml/2006/main" count="692" uniqueCount="209">
  <si>
    <t>ADASI – Mapping Job Position, Section &amp; Department</t>
  </si>
  <si>
    <t>No.</t>
  </si>
  <si>
    <t>Nama Karyawan</t>
  </si>
  <si>
    <t>ADHI PRASETIYO</t>
  </si>
  <si>
    <t>Accounting</t>
  </si>
  <si>
    <t>Adhi Prasetyo</t>
  </si>
  <si>
    <t>Martinus Cahyo Rahasto</t>
  </si>
  <si>
    <t>DINA NIMAS AYU NAWAWULAN PRIHANTINI</t>
  </si>
  <si>
    <t>Accounting Staff</t>
  </si>
  <si>
    <t>Finance Sec Head</t>
  </si>
  <si>
    <t>AHMAD RIDWAN</t>
  </si>
  <si>
    <t>Finance Staff</t>
  </si>
  <si>
    <t>PDCA, Proc, Inv &amp; IT</t>
  </si>
  <si>
    <t>Jessica Paune</t>
  </si>
  <si>
    <t>MARTINUS CAHYO RAHASTO</t>
  </si>
  <si>
    <t>MUHAMMAD DINAR FARISI</t>
  </si>
  <si>
    <t>HRGA Staff</t>
  </si>
  <si>
    <t>SITI MARIA ULFA</t>
  </si>
  <si>
    <t>MEDI KRISNANTO</t>
  </si>
  <si>
    <t>IT Staff</t>
  </si>
  <si>
    <t>VIVIAN ANGELIKA</t>
  </si>
  <si>
    <t>Procurement Staff</t>
  </si>
  <si>
    <t>JESSICA PAUNE</t>
  </si>
  <si>
    <t>AWING</t>
  </si>
  <si>
    <t>Feeder Operator</t>
  </si>
  <si>
    <t>ELI HANDOYO</t>
  </si>
  <si>
    <t>Delivery Staff</t>
  </si>
  <si>
    <t>Hardi Saputra</t>
  </si>
  <si>
    <t>FATUL MUKMIN</t>
  </si>
  <si>
    <t>HAERUL IKHSAN</t>
  </si>
  <si>
    <t>LUKMAN AHMAD</t>
  </si>
  <si>
    <t>ARRY SOEBHEKTI</t>
  </si>
  <si>
    <t>Admin Cutting Sheet (ACS)</t>
  </si>
  <si>
    <t>MAMIK ABIDIN</t>
  </si>
  <si>
    <t>NURSALIM</t>
  </si>
  <si>
    <t>Warehouse Staff</t>
  </si>
  <si>
    <t>R.WAWAN HIMAWAN</t>
  </si>
  <si>
    <t>ABDUR RAHMAN AL FAAIZ</t>
  </si>
  <si>
    <t>RAGIL ISHA RAHMANTO</t>
  </si>
  <si>
    <t>Production MC &amp; Machining Custom</t>
  </si>
  <si>
    <t>CECEP ISKANDAR</t>
  </si>
  <si>
    <t>Bubut Operator</t>
  </si>
  <si>
    <t>ILHAM SETIA DHARMA</t>
  </si>
  <si>
    <t>MC Custom Staff</t>
  </si>
  <si>
    <t>IMAM PRASETYO</t>
  </si>
  <si>
    <t>MC Custom Operator</t>
  </si>
  <si>
    <t>Mugi Pramono</t>
  </si>
  <si>
    <t>IMAM SOPYAN</t>
  </si>
  <si>
    <t>JEFRY WASTON E</t>
  </si>
  <si>
    <t>MC Custom Leader</t>
  </si>
  <si>
    <t>M. RIDWAN GUNAWAN</t>
  </si>
  <si>
    <t>MOCHAMMAD ANDRIANSYAH</t>
  </si>
  <si>
    <t>SETIYAWAN</t>
  </si>
  <si>
    <t>YANUARDIN SALEH SIREGAR</t>
  </si>
  <si>
    <t>JAKARIA</t>
  </si>
  <si>
    <t>MC Operator</t>
  </si>
  <si>
    <t>KARYA WIJAYA</t>
  </si>
  <si>
    <t>RAHMAT NUGROHO</t>
  </si>
  <si>
    <t>SABAR WASIRAN</t>
  </si>
  <si>
    <t>UMAR HADI</t>
  </si>
  <si>
    <t>YUSUF SYAFAAT</t>
  </si>
  <si>
    <t>MC Leader</t>
  </si>
  <si>
    <t>MUHAMMAD MAHBUB</t>
  </si>
  <si>
    <t>ARY RODJO PRASETYO</t>
  </si>
  <si>
    <t>Production Dept Head</t>
  </si>
  <si>
    <t>MUGI PRAMONO</t>
  </si>
  <si>
    <t>RIZKY ANDREA RAHMAWAN</t>
  </si>
  <si>
    <t>Heat Treatment Operator</t>
  </si>
  <si>
    <t>Production Cutting</t>
  </si>
  <si>
    <t>AFILIANDI</t>
  </si>
  <si>
    <t>Cutting Operator</t>
  </si>
  <si>
    <t>AGUNG PANGESTU YUSUF</t>
  </si>
  <si>
    <t>AGUS PRIYANTO</t>
  </si>
  <si>
    <t>AGUS ROSIDIN</t>
  </si>
  <si>
    <t>ANDI SANTOSO</t>
  </si>
  <si>
    <t>DASUKI</t>
  </si>
  <si>
    <t>Cutting Leader</t>
  </si>
  <si>
    <t>Technical Support QC &amp; Maintenance</t>
  </si>
  <si>
    <t>DIAMAN DARMAWINATA</t>
  </si>
  <si>
    <t>FAIZAL AFDAU</t>
  </si>
  <si>
    <t>HENDRIO</t>
  </si>
  <si>
    <t>JAKA RARA SUKMA</t>
  </si>
  <si>
    <t>MIFTAKHUROHMAN</t>
  </si>
  <si>
    <t>NUR SUPRIYANTO</t>
  </si>
  <si>
    <t>NURSAID</t>
  </si>
  <si>
    <t>RUKMAN</t>
  </si>
  <si>
    <t>RUSITO</t>
  </si>
  <si>
    <t>SEPTIADI PRATOMO</t>
  </si>
  <si>
    <t>SUDIYATNO</t>
  </si>
  <si>
    <t>QC Operator</t>
  </si>
  <si>
    <t>ANDI SIMPONI</t>
  </si>
  <si>
    <t>Maintenance Operator</t>
  </si>
  <si>
    <t>AVI SHENNA</t>
  </si>
  <si>
    <t>HT Operator</t>
  </si>
  <si>
    <t>BANGUN SUTOPO</t>
  </si>
  <si>
    <t>HT Leader</t>
  </si>
  <si>
    <t>FIKRI SYAHBANA</t>
  </si>
  <si>
    <t>GUNAWAN</t>
  </si>
  <si>
    <t>HT Admin</t>
  </si>
  <si>
    <t>JONI SETIAWAN</t>
  </si>
  <si>
    <t>KUSTIONO</t>
  </si>
  <si>
    <t>MOHAMMAD FATKHURROHMAN</t>
  </si>
  <si>
    <t>RIADUS SOLIHIN</t>
  </si>
  <si>
    <t>ZAENAL ARIFIN</t>
  </si>
  <si>
    <t>HARDI SAPUTRA</t>
  </si>
  <si>
    <t>JUN JOHAMIN PD</t>
  </si>
  <si>
    <t>Sales Office Head Region 1</t>
  </si>
  <si>
    <t>YULMAI RIDO WINANDA</t>
  </si>
  <si>
    <t>ILHAM CHOLID</t>
  </si>
  <si>
    <t>Sales Office Head Region 2</t>
  </si>
  <si>
    <t>DANIA ISNAWATI</t>
  </si>
  <si>
    <t>Sales Engineer Region 3</t>
  </si>
  <si>
    <t>ANDIK TOTOK SISWOYO</t>
  </si>
  <si>
    <t>LINA UNIARSIH</t>
  </si>
  <si>
    <t>Sales Admin</t>
  </si>
  <si>
    <t>Ilham Cholid</t>
  </si>
  <si>
    <t>Yulmai Rido</t>
  </si>
  <si>
    <t>DIMAS ADITYA PRIANDANA</t>
  </si>
  <si>
    <t>Sales Engineer Region 2</t>
  </si>
  <si>
    <t>HERY HERMAWAN</t>
  </si>
  <si>
    <t>Sales Engineer Region 4</t>
  </si>
  <si>
    <t>SENDY PRABOWO</t>
  </si>
  <si>
    <t>Sales Engineer Region 1</t>
  </si>
  <si>
    <t>HARRY SUPRIYADI</t>
  </si>
  <si>
    <t>HERLIANA</t>
  </si>
  <si>
    <t>SONY STIAWAN</t>
  </si>
  <si>
    <t>WULYO EKO PRASETYO</t>
  </si>
  <si>
    <t>PUTRI ANINDIA</t>
  </si>
  <si>
    <t>YAN WELEM MANGINSELA</t>
  </si>
  <si>
    <t>SARAH EGA BUDI ASTUTI</t>
  </si>
  <si>
    <t>DWI KUNTORO</t>
  </si>
  <si>
    <t>RIFQI RAHMAT DZATNIKA</t>
  </si>
  <si>
    <t>ILYAS NOOR FIRDAUS</t>
  </si>
  <si>
    <t>Inventory Staff</t>
  </si>
  <si>
    <t>PPC Staff</t>
  </si>
  <si>
    <t>YUNASIS PALGUNADI</t>
  </si>
  <si>
    <t>FISKA CHRISMAS YUDHA</t>
  </si>
  <si>
    <t>Job Position</t>
  </si>
  <si>
    <t>Section
(base on data users)</t>
  </si>
  <si>
    <t>Section
(base on data job positions)</t>
  </si>
  <si>
    <t>Section Head
(base on data job positions)</t>
  </si>
  <si>
    <t>Departemen
(base on data job positions)</t>
  </si>
  <si>
    <t>Departemen Head
(base on data job positions)</t>
  </si>
  <si>
    <t xml:space="preserve">Finance </t>
  </si>
  <si>
    <t>Finance</t>
  </si>
  <si>
    <t>HRGA</t>
  </si>
  <si>
    <t>HRGA &amp; Legal Staff</t>
  </si>
  <si>
    <t>DAFTAR SECTION DEPARTEMEN ACTUAL 2026</t>
  </si>
  <si>
    <t>Section</t>
  </si>
  <si>
    <t>Departemen</t>
  </si>
  <si>
    <t xml:space="preserve">Division </t>
  </si>
  <si>
    <t>Finance, Accounting &amp; HRGA</t>
  </si>
  <si>
    <t xml:space="preserve">Accounting </t>
  </si>
  <si>
    <t>PDCA, Inventory, Procurement  &amp; IT</t>
  </si>
  <si>
    <t>IT</t>
  </si>
  <si>
    <t xml:space="preserve">Sales </t>
  </si>
  <si>
    <t xml:space="preserve">Logistic </t>
  </si>
  <si>
    <t xml:space="preserve">Production Cutting </t>
  </si>
  <si>
    <t>Production</t>
  </si>
  <si>
    <t>Production Heat Treatment</t>
  </si>
  <si>
    <t>Fin, Acc &amp; HRGA</t>
  </si>
  <si>
    <t>Ragil Isha Rahmanto</t>
  </si>
  <si>
    <t>Ary Rodjo Prasetyo</t>
  </si>
  <si>
    <t xml:space="preserve">Cutting Foreman </t>
  </si>
  <si>
    <t>Sales Region 1</t>
  </si>
  <si>
    <t>Sales Region 2</t>
  </si>
  <si>
    <t>Sales Region 4</t>
  </si>
  <si>
    <t>Sales Region 3</t>
  </si>
  <si>
    <t>Sales Dept Head Region 1&amp;2</t>
  </si>
  <si>
    <t>Sales Dept. Head Region 3&amp;4</t>
  </si>
  <si>
    <t>Richardus Christian</t>
  </si>
  <si>
    <t>Abdur Rahman Al Faaiz</t>
  </si>
  <si>
    <t>Andik Totok Siswoyo</t>
  </si>
  <si>
    <t xml:space="preserve">Yulmai Rido Winanda </t>
  </si>
  <si>
    <t xml:space="preserve">Jun Johamin </t>
  </si>
  <si>
    <t xml:space="preserve">Finance, Accounting &amp; HRGA </t>
  </si>
  <si>
    <t>Sales Region 1 &amp; 2</t>
  </si>
  <si>
    <t>Sales Region 3 &amp; 4</t>
  </si>
  <si>
    <t xml:space="preserve">Andik Totok Siswoyo </t>
  </si>
  <si>
    <t>Finance Accounting Sec Head</t>
  </si>
  <si>
    <t xml:space="preserve">NUR DWITA SURA WIJAYA </t>
  </si>
  <si>
    <t xml:space="preserve">FRISILIA CLAUDIA HUTAMA </t>
  </si>
  <si>
    <t xml:space="preserve">Section Head : Ada di beberapa Section sesuai dengan job desc nya </t>
  </si>
  <si>
    <t xml:space="preserve">Dept./Div Head : Ada di beberapa Department sesuai dengan job desc nya </t>
  </si>
  <si>
    <t>Finance, Accounting &amp; HRGA Dept.Head</t>
  </si>
  <si>
    <t xml:space="preserve">PDCA Proc Inv IT Dept Head </t>
  </si>
  <si>
    <t>Logistic &amp; Warehouse</t>
  </si>
  <si>
    <t xml:space="preserve">Logistic &amp; Warehouse </t>
  </si>
  <si>
    <t>Logistic &amp; Warehouse Foreman</t>
  </si>
  <si>
    <t>Logistic &amp; Warehouse  Sec Head</t>
  </si>
  <si>
    <t>Machining &amp; MC Custom Sec Head</t>
  </si>
  <si>
    <t>Sales Div Head
Logistic &amp; Warehouses Dept Head</t>
  </si>
  <si>
    <t>Sales Region 1 &amp; 2 
Sales Region 3 &amp; 4 
Logistic &amp; Warehouses Dept Head</t>
  </si>
  <si>
    <t>Production Cutting
Production Heat Treatment 
Technical Support QC &amp; Maintenance</t>
  </si>
  <si>
    <t>Finance
Accounting</t>
  </si>
  <si>
    <t xml:space="preserve">RICHARDUS CHRISTIAN </t>
  </si>
  <si>
    <t>RUSLAN</t>
  </si>
  <si>
    <t xml:space="preserve">PDCA &amp; Procurement Local </t>
  </si>
  <si>
    <t xml:space="preserve">Procurement Import &amp; Inventory </t>
  </si>
  <si>
    <t>RAIHAN GILANG RAMADHAN</t>
  </si>
  <si>
    <t>Employee</t>
  </si>
  <si>
    <t>Section Head</t>
  </si>
  <si>
    <t>Dept. Head</t>
  </si>
  <si>
    <t>Sub-Section Head</t>
  </si>
  <si>
    <t>Division</t>
  </si>
  <si>
    <t>Production Cutting Sect. Head
Production Heat Treatment  Sect. Head
Technical Support QC &amp; Maintenance  Sect. Head</t>
  </si>
  <si>
    <r>
      <rPr>
        <b/>
        <sz val="11"/>
        <color theme="1"/>
        <rFont val="Calibri"/>
        <family val="2"/>
        <scheme val="minor"/>
      </rPr>
      <t>PENTING</t>
    </r>
    <r>
      <rPr>
        <sz val="11"/>
        <color theme="1"/>
        <rFont val="Calibri"/>
        <family val="2"/>
        <scheme val="minor"/>
      </rPr>
      <t>: HARDI SAPUTRA memiliki dua job position sebagai Sales Div Head &amp; Logistic &amp; Warehouses Dept Head. dia memegang 3 dept sekaligus yaitu Sales Region 1 &amp; 2 ,
Sales Region 3 &amp; 4 &amp;
Logistic. Jadi dalam penilaian dia bisa melihat 3 dept sekaligus pada penilaian ka dept.</t>
    </r>
  </si>
  <si>
    <r>
      <rPr>
        <b/>
        <sz val="11"/>
        <color theme="1"/>
        <rFont val="Calibri"/>
        <family val="2"/>
        <scheme val="minor"/>
      </rPr>
      <t>PENTING</t>
    </r>
    <r>
      <rPr>
        <sz val="11"/>
        <color theme="1"/>
        <rFont val="Calibri"/>
        <family val="2"/>
        <scheme val="minor"/>
      </rPr>
      <t>: Untuk MUGI PRAMONO dia memiliki job position sebagai Production Cutting Sect. Head, Production Heat Treatment  Sect. Head, Technical Support QC &amp; Maintenance  Sect. Head. Serta memegang 3 section yaitu Production Cutting,
Production Heat Treatment, Technical Support QC &amp; Maintenance</t>
    </r>
  </si>
  <si>
    <r>
      <rPr>
        <b/>
        <sz val="11"/>
        <rFont val="Arial"/>
        <family val="2"/>
      </rPr>
      <t>PENTING</t>
    </r>
    <r>
      <rPr>
        <sz val="11"/>
        <rFont val="Arial"/>
        <family val="2"/>
      </rPr>
      <t xml:space="preserve">: Ada Kasus unik untuk RICHARDUS yaitu dia merupakan Finance sec head yang harus melewati Finance Accounting Sec Head dulu(ADHI PRASETIYO karena dia pegang 2 section yaitu finance dan accounting). Jadi alurnya: Employee &gt; Sub section head &gt; section head &gt;dept head.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</si>
</sst>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1B3A6B"/>
      <name val="Arial"/>
    </font>
    <font>
      <sz val="9"/>
      <name val="Arial"/>
    </font>
    <font>
      <sz val="9"/>
      <name val="Arial"/>
      <family val="2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0F0"/>
      </patternFill>
    </fill>
    <fill>
      <patternFill patternType="solid">
        <fgColor rgb="FFFFFFFF"/>
      </patternFill>
    </fill>
    <fill>
      <patternFill patternType="solid">
        <fgColor rgb="FFF2F5FB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5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F1BE-DFFC-4E28-A4D2-106131EA5777}">
  <dimension ref="A1:IY98"/>
  <sheetViews>
    <sheetView tabSelected="1" zoomScale="5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K7" sqref="K7:O7"/>
    </sheetView>
  </sheetViews>
  <sheetFormatPr defaultRowHeight="14.4" x14ac:dyDescent="0.3"/>
  <cols>
    <col min="1" max="1" width="5" customWidth="1"/>
    <col min="2" max="2" width="41.6640625" customWidth="1"/>
    <col min="3" max="3" width="43.88671875" customWidth="1"/>
    <col min="4" max="4" width="32" customWidth="1"/>
    <col min="5" max="5" width="28.21875" customWidth="1"/>
    <col min="6" max="6" width="25.109375" customWidth="1"/>
    <col min="7" max="7" width="30.77734375" customWidth="1"/>
    <col min="8" max="8" width="28" customWidth="1"/>
    <col min="9" max="11" width="8.77734375"/>
    <col min="12" max="13" width="19" customWidth="1"/>
    <col min="14" max="14" width="55.77734375" customWidth="1"/>
    <col min="15" max="15" width="19" customWidth="1"/>
    <col min="16" max="259" width="8.77734375"/>
  </cols>
  <sheetData>
    <row r="1" spans="1:259" ht="24" customHeight="1" x14ac:dyDescent="0.3">
      <c r="A1" s="16" t="s">
        <v>0</v>
      </c>
      <c r="B1" s="14"/>
      <c r="C1" s="14"/>
      <c r="D1" s="14"/>
      <c r="E1" s="14"/>
      <c r="F1" s="14"/>
      <c r="G1" s="14"/>
      <c r="H1" s="14"/>
    </row>
    <row r="2" spans="1:259" ht="68.55" customHeight="1" x14ac:dyDescent="0.3">
      <c r="A2" s="1" t="s">
        <v>1</v>
      </c>
      <c r="B2" s="1" t="s">
        <v>2</v>
      </c>
      <c r="C2" s="1" t="s">
        <v>137</v>
      </c>
      <c r="D2" s="1" t="s">
        <v>139</v>
      </c>
      <c r="E2" s="1" t="s">
        <v>138</v>
      </c>
      <c r="F2" s="1" t="s">
        <v>140</v>
      </c>
      <c r="G2" s="1" t="s">
        <v>141</v>
      </c>
      <c r="H2" s="1" t="s">
        <v>142</v>
      </c>
    </row>
    <row r="3" spans="1:259" s="7" customFormat="1" ht="22.8" x14ac:dyDescent="0.3">
      <c r="A3" s="9">
        <v>1</v>
      </c>
      <c r="B3" s="6" t="s">
        <v>3</v>
      </c>
      <c r="C3" s="6" t="s">
        <v>179</v>
      </c>
      <c r="D3" s="6" t="s">
        <v>194</v>
      </c>
      <c r="E3" s="6" t="s">
        <v>194</v>
      </c>
      <c r="F3" s="6"/>
      <c r="G3" s="8" t="s">
        <v>175</v>
      </c>
      <c r="H3" s="8" t="s">
        <v>6</v>
      </c>
      <c r="I3"/>
      <c r="J3"/>
      <c r="L3" t="s">
        <v>182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</row>
    <row r="4" spans="1:259" ht="19.95" customHeight="1" x14ac:dyDescent="0.3">
      <c r="A4" s="9">
        <v>2</v>
      </c>
      <c r="B4" s="3" t="s">
        <v>7</v>
      </c>
      <c r="C4" s="3" t="s">
        <v>8</v>
      </c>
      <c r="D4" s="3" t="s">
        <v>4</v>
      </c>
      <c r="E4" s="3" t="s">
        <v>4</v>
      </c>
      <c r="F4" s="3" t="s">
        <v>5</v>
      </c>
      <c r="G4" s="8" t="s">
        <v>175</v>
      </c>
      <c r="H4" s="8" t="s">
        <v>6</v>
      </c>
    </row>
    <row r="5" spans="1:259" s="7" customFormat="1" ht="19.95" customHeight="1" x14ac:dyDescent="0.3">
      <c r="A5" s="9">
        <v>3</v>
      </c>
      <c r="B5" s="6" t="s">
        <v>195</v>
      </c>
      <c r="C5" s="6" t="s">
        <v>9</v>
      </c>
      <c r="D5" s="6" t="s">
        <v>143</v>
      </c>
      <c r="E5" s="6" t="s">
        <v>143</v>
      </c>
      <c r="F5" s="6"/>
      <c r="G5" s="8" t="s">
        <v>175</v>
      </c>
      <c r="H5" s="8" t="s">
        <v>6</v>
      </c>
      <c r="I5"/>
      <c r="J5"/>
      <c r="K5" s="5"/>
      <c r="L5" t="s">
        <v>183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</row>
    <row r="6" spans="1:259" ht="19.95" customHeight="1" x14ac:dyDescent="0.3">
      <c r="A6" s="9">
        <v>4</v>
      </c>
      <c r="B6" s="3" t="s">
        <v>10</v>
      </c>
      <c r="C6" s="3" t="s">
        <v>11</v>
      </c>
      <c r="D6" s="8" t="s">
        <v>143</v>
      </c>
      <c r="E6" s="8" t="s">
        <v>143</v>
      </c>
      <c r="F6" s="8" t="s">
        <v>170</v>
      </c>
      <c r="G6" s="8" t="s">
        <v>175</v>
      </c>
      <c r="H6" s="8" t="s">
        <v>6</v>
      </c>
    </row>
    <row r="7" spans="1:259" ht="28.2" customHeight="1" x14ac:dyDescent="0.3">
      <c r="A7" s="9">
        <v>5</v>
      </c>
      <c r="B7" s="3" t="s">
        <v>180</v>
      </c>
      <c r="C7" s="3" t="s">
        <v>11</v>
      </c>
      <c r="D7" s="8" t="s">
        <v>143</v>
      </c>
      <c r="E7" s="8" t="s">
        <v>144</v>
      </c>
      <c r="F7" s="8" t="s">
        <v>170</v>
      </c>
      <c r="G7" s="8" t="s">
        <v>175</v>
      </c>
      <c r="H7" s="8" t="s">
        <v>6</v>
      </c>
      <c r="K7" s="17" t="s">
        <v>208</v>
      </c>
      <c r="L7" s="17"/>
      <c r="M7" s="17"/>
      <c r="N7" s="17"/>
      <c r="O7" s="17"/>
    </row>
    <row r="8" spans="1:259" ht="19.95" customHeight="1" x14ac:dyDescent="0.3">
      <c r="A8" s="9"/>
      <c r="B8" s="3" t="s">
        <v>199</v>
      </c>
      <c r="C8" s="3" t="s">
        <v>8</v>
      </c>
      <c r="D8" s="8" t="s">
        <v>4</v>
      </c>
      <c r="E8" s="8" t="s">
        <v>4</v>
      </c>
      <c r="F8" s="8" t="s">
        <v>5</v>
      </c>
      <c r="G8" s="8" t="s">
        <v>175</v>
      </c>
      <c r="H8" s="8" t="s">
        <v>6</v>
      </c>
    </row>
    <row r="9" spans="1:259" s="5" customFormat="1" ht="19.95" customHeight="1" x14ac:dyDescent="0.3">
      <c r="A9" s="9">
        <v>6</v>
      </c>
      <c r="B9" s="4" t="s">
        <v>14</v>
      </c>
      <c r="C9" s="4" t="s">
        <v>184</v>
      </c>
      <c r="D9" s="4" t="s">
        <v>160</v>
      </c>
      <c r="E9" s="4" t="s">
        <v>160</v>
      </c>
      <c r="F9" s="4"/>
      <c r="G9" s="8" t="s">
        <v>175</v>
      </c>
      <c r="H9" s="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</row>
    <row r="10" spans="1:259" ht="19.95" customHeight="1" x14ac:dyDescent="0.3">
      <c r="A10" s="9">
        <v>7</v>
      </c>
      <c r="B10" s="2" t="s">
        <v>15</v>
      </c>
      <c r="C10" s="2" t="s">
        <v>16</v>
      </c>
      <c r="D10" s="8" t="s">
        <v>145</v>
      </c>
      <c r="E10" s="8" t="s">
        <v>145</v>
      </c>
      <c r="F10" s="8" t="s">
        <v>6</v>
      </c>
      <c r="G10" s="8" t="s">
        <v>175</v>
      </c>
      <c r="H10" s="8" t="s">
        <v>6</v>
      </c>
    </row>
    <row r="11" spans="1:259" ht="19.95" customHeight="1" x14ac:dyDescent="0.3">
      <c r="A11" s="9">
        <v>8</v>
      </c>
      <c r="B11" s="3" t="s">
        <v>17</v>
      </c>
      <c r="C11" s="3" t="s">
        <v>146</v>
      </c>
      <c r="D11" s="8" t="s">
        <v>145</v>
      </c>
      <c r="E11" s="8" t="s">
        <v>145</v>
      </c>
      <c r="F11" s="8" t="s">
        <v>6</v>
      </c>
      <c r="G11" s="8" t="s">
        <v>175</v>
      </c>
      <c r="H11" s="8" t="s">
        <v>6</v>
      </c>
    </row>
    <row r="12" spans="1:259" ht="19.95" customHeight="1" x14ac:dyDescent="0.3">
      <c r="A12" s="9">
        <v>9</v>
      </c>
      <c r="B12" s="2" t="s">
        <v>18</v>
      </c>
      <c r="C12" s="2" t="s">
        <v>19</v>
      </c>
      <c r="D12" s="8" t="s">
        <v>154</v>
      </c>
      <c r="E12" s="8" t="s">
        <v>154</v>
      </c>
      <c r="F12" s="8" t="s">
        <v>13</v>
      </c>
      <c r="G12" s="8" t="s">
        <v>12</v>
      </c>
      <c r="H12" s="8" t="s">
        <v>13</v>
      </c>
      <c r="L12" t="s">
        <v>200</v>
      </c>
      <c r="M12" t="s">
        <v>201</v>
      </c>
      <c r="N12" t="s">
        <v>202</v>
      </c>
      <c r="O12" t="s">
        <v>204</v>
      </c>
    </row>
    <row r="13" spans="1:259" ht="19.95" customHeight="1" x14ac:dyDescent="0.3">
      <c r="A13" s="9">
        <v>10</v>
      </c>
      <c r="B13" s="3" t="s">
        <v>20</v>
      </c>
      <c r="C13" s="3" t="s">
        <v>21</v>
      </c>
      <c r="D13" s="8" t="s">
        <v>197</v>
      </c>
      <c r="E13" s="8" t="s">
        <v>197</v>
      </c>
      <c r="F13" s="8" t="s">
        <v>13</v>
      </c>
      <c r="G13" s="8" t="s">
        <v>12</v>
      </c>
      <c r="H13" s="8" t="s">
        <v>13</v>
      </c>
      <c r="L13" t="s">
        <v>200</v>
      </c>
      <c r="M13" t="s">
        <v>203</v>
      </c>
      <c r="N13" t="s">
        <v>201</v>
      </c>
      <c r="O13" t="s">
        <v>202</v>
      </c>
      <c r="P13" t="s">
        <v>204</v>
      </c>
    </row>
    <row r="14" spans="1:259" ht="19.95" customHeight="1" x14ac:dyDescent="0.3">
      <c r="A14" s="9">
        <v>11</v>
      </c>
      <c r="B14" s="3" t="s">
        <v>132</v>
      </c>
      <c r="C14" s="3" t="s">
        <v>133</v>
      </c>
      <c r="D14" s="13" t="s">
        <v>198</v>
      </c>
      <c r="E14" s="13" t="s">
        <v>198</v>
      </c>
      <c r="F14" s="8" t="s">
        <v>13</v>
      </c>
      <c r="G14" s="8" t="s">
        <v>12</v>
      </c>
      <c r="H14" s="8" t="s">
        <v>13</v>
      </c>
    </row>
    <row r="15" spans="1:259" s="5" customFormat="1" ht="19.95" customHeight="1" x14ac:dyDescent="0.3">
      <c r="A15" s="9">
        <v>12</v>
      </c>
      <c r="B15" s="4" t="s">
        <v>22</v>
      </c>
      <c r="C15" s="4" t="s">
        <v>185</v>
      </c>
      <c r="D15" s="4" t="str">
        <f>G15</f>
        <v>PDCA, Proc, Inv &amp; IT</v>
      </c>
      <c r="E15" s="4" t="str">
        <f>D15</f>
        <v>PDCA, Proc, Inv &amp; IT</v>
      </c>
      <c r="F15" s="4"/>
      <c r="G15" s="8" t="s">
        <v>12</v>
      </c>
      <c r="H15" s="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</row>
    <row r="16" spans="1:259" ht="19.95" customHeight="1" x14ac:dyDescent="0.3">
      <c r="A16" s="9">
        <v>13</v>
      </c>
      <c r="B16" s="2" t="s">
        <v>23</v>
      </c>
      <c r="C16" s="2" t="s">
        <v>24</v>
      </c>
      <c r="D16" s="8" t="s">
        <v>186</v>
      </c>
      <c r="E16" s="8" t="s">
        <v>187</v>
      </c>
      <c r="F16" s="8" t="s">
        <v>171</v>
      </c>
      <c r="G16" s="8" t="s">
        <v>186</v>
      </c>
      <c r="H16" s="8" t="s">
        <v>27</v>
      </c>
    </row>
    <row r="17" spans="1:259" ht="19.95" customHeight="1" x14ac:dyDescent="0.3">
      <c r="A17" s="9">
        <v>14</v>
      </c>
      <c r="B17" s="3" t="s">
        <v>25</v>
      </c>
      <c r="C17" s="3" t="s">
        <v>26</v>
      </c>
      <c r="D17" s="8" t="s">
        <v>186</v>
      </c>
      <c r="E17" s="8" t="s">
        <v>186</v>
      </c>
      <c r="F17" s="8" t="s">
        <v>171</v>
      </c>
      <c r="G17" s="8" t="s">
        <v>186</v>
      </c>
      <c r="H17" s="8" t="s">
        <v>27</v>
      </c>
    </row>
    <row r="18" spans="1:259" ht="19.95" customHeight="1" x14ac:dyDescent="0.3">
      <c r="A18" s="9">
        <v>15</v>
      </c>
      <c r="B18" s="2" t="s">
        <v>28</v>
      </c>
      <c r="C18" s="2" t="s">
        <v>26</v>
      </c>
      <c r="D18" s="8" t="s">
        <v>186</v>
      </c>
      <c r="E18" s="8" t="s">
        <v>186</v>
      </c>
      <c r="F18" s="8" t="s">
        <v>171</v>
      </c>
      <c r="G18" s="8" t="s">
        <v>186</v>
      </c>
      <c r="H18" s="8" t="s">
        <v>27</v>
      </c>
    </row>
    <row r="19" spans="1:259" ht="19.95" customHeight="1" x14ac:dyDescent="0.3">
      <c r="A19" s="9">
        <v>16</v>
      </c>
      <c r="B19" s="3" t="s">
        <v>29</v>
      </c>
      <c r="C19" s="3" t="s">
        <v>24</v>
      </c>
      <c r="D19" s="8" t="s">
        <v>186</v>
      </c>
      <c r="E19" s="8" t="s">
        <v>186</v>
      </c>
      <c r="F19" s="8" t="s">
        <v>171</v>
      </c>
      <c r="G19" s="8" t="s">
        <v>186</v>
      </c>
      <c r="H19" s="8" t="s">
        <v>27</v>
      </c>
    </row>
    <row r="20" spans="1:259" ht="19.95" customHeight="1" x14ac:dyDescent="0.3">
      <c r="A20" s="9">
        <v>17</v>
      </c>
      <c r="B20" s="2" t="s">
        <v>30</v>
      </c>
      <c r="C20" s="2" t="s">
        <v>24</v>
      </c>
      <c r="D20" s="8" t="s">
        <v>186</v>
      </c>
      <c r="E20" s="8" t="s">
        <v>186</v>
      </c>
      <c r="F20" s="8" t="s">
        <v>171</v>
      </c>
      <c r="G20" s="8" t="s">
        <v>186</v>
      </c>
      <c r="H20" s="8" t="s">
        <v>27</v>
      </c>
    </row>
    <row r="21" spans="1:259" ht="19.95" customHeight="1" x14ac:dyDescent="0.3">
      <c r="A21" s="9">
        <v>18</v>
      </c>
      <c r="B21" s="3" t="s">
        <v>31</v>
      </c>
      <c r="C21" s="3" t="s">
        <v>32</v>
      </c>
      <c r="D21" s="8" t="s">
        <v>186</v>
      </c>
      <c r="E21" s="8" t="s">
        <v>186</v>
      </c>
      <c r="F21" s="8" t="s">
        <v>171</v>
      </c>
      <c r="G21" s="8" t="s">
        <v>186</v>
      </c>
      <c r="H21" s="8" t="s">
        <v>27</v>
      </c>
    </row>
    <row r="22" spans="1:259" ht="19.95" customHeight="1" x14ac:dyDescent="0.3">
      <c r="A22" s="9">
        <v>19</v>
      </c>
      <c r="B22" s="2" t="s">
        <v>33</v>
      </c>
      <c r="C22" s="2" t="s">
        <v>188</v>
      </c>
      <c r="D22" s="8" t="s">
        <v>186</v>
      </c>
      <c r="E22" s="8" t="s">
        <v>186</v>
      </c>
      <c r="F22" s="8" t="s">
        <v>171</v>
      </c>
      <c r="G22" s="8" t="s">
        <v>186</v>
      </c>
      <c r="H22" s="8" t="s">
        <v>27</v>
      </c>
    </row>
    <row r="23" spans="1:259" ht="19.95" customHeight="1" x14ac:dyDescent="0.3">
      <c r="A23" s="9">
        <v>20</v>
      </c>
      <c r="B23" s="3" t="s">
        <v>34</v>
      </c>
      <c r="C23" s="3" t="s">
        <v>35</v>
      </c>
      <c r="D23" s="8" t="s">
        <v>186</v>
      </c>
      <c r="E23" s="8" t="s">
        <v>186</v>
      </c>
      <c r="F23" s="8" t="s">
        <v>171</v>
      </c>
      <c r="G23" s="8" t="s">
        <v>186</v>
      </c>
      <c r="H23" s="8" t="s">
        <v>27</v>
      </c>
    </row>
    <row r="24" spans="1:259" ht="19.95" customHeight="1" x14ac:dyDescent="0.3">
      <c r="A24" s="9">
        <v>21</v>
      </c>
      <c r="B24" s="2" t="s">
        <v>36</v>
      </c>
      <c r="C24" s="2" t="s">
        <v>32</v>
      </c>
      <c r="D24" s="8" t="s">
        <v>186</v>
      </c>
      <c r="E24" s="8" t="s">
        <v>186</v>
      </c>
      <c r="F24" s="8" t="s">
        <v>171</v>
      </c>
      <c r="G24" s="8" t="s">
        <v>186</v>
      </c>
      <c r="H24" s="8" t="s">
        <v>27</v>
      </c>
    </row>
    <row r="25" spans="1:259" s="7" customFormat="1" ht="19.95" customHeight="1" x14ac:dyDescent="0.3">
      <c r="A25" s="9">
        <v>22</v>
      </c>
      <c r="B25" s="6" t="s">
        <v>37</v>
      </c>
      <c r="C25" s="6" t="s">
        <v>189</v>
      </c>
      <c r="D25" s="6" t="s">
        <v>186</v>
      </c>
      <c r="E25" s="6" t="s">
        <v>186</v>
      </c>
      <c r="F25" s="6"/>
      <c r="G25" s="8" t="s">
        <v>186</v>
      </c>
      <c r="H25" s="8" t="s">
        <v>27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</row>
    <row r="26" spans="1:259" s="7" customFormat="1" ht="19.95" customHeight="1" x14ac:dyDescent="0.3">
      <c r="A26" s="9">
        <v>23</v>
      </c>
      <c r="B26" s="6" t="s">
        <v>38</v>
      </c>
      <c r="C26" s="6" t="s">
        <v>190</v>
      </c>
      <c r="D26" s="8" t="s">
        <v>39</v>
      </c>
      <c r="E26" s="8" t="s">
        <v>39</v>
      </c>
      <c r="F26" s="6"/>
      <c r="G26" s="8" t="s">
        <v>158</v>
      </c>
      <c r="H26" s="8" t="s">
        <v>162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</row>
    <row r="27" spans="1:259" ht="19.95" customHeight="1" x14ac:dyDescent="0.3">
      <c r="A27" s="9">
        <v>24</v>
      </c>
      <c r="B27" s="3" t="s">
        <v>40</v>
      </c>
      <c r="C27" s="3" t="s">
        <v>41</v>
      </c>
      <c r="D27" s="8" t="s">
        <v>39</v>
      </c>
      <c r="E27" s="8" t="s">
        <v>39</v>
      </c>
      <c r="F27" s="8" t="s">
        <v>161</v>
      </c>
      <c r="G27" s="8" t="s">
        <v>158</v>
      </c>
      <c r="H27" s="8" t="s">
        <v>162</v>
      </c>
    </row>
    <row r="28" spans="1:259" ht="19.95" customHeight="1" x14ac:dyDescent="0.3">
      <c r="A28" s="9">
        <v>25</v>
      </c>
      <c r="B28" s="2" t="s">
        <v>42</v>
      </c>
      <c r="C28" s="2" t="s">
        <v>43</v>
      </c>
      <c r="D28" s="8" t="s">
        <v>39</v>
      </c>
      <c r="E28" s="8" t="s">
        <v>39</v>
      </c>
      <c r="F28" s="8" t="s">
        <v>161</v>
      </c>
      <c r="G28" s="8" t="s">
        <v>158</v>
      </c>
      <c r="H28" s="8" t="s">
        <v>162</v>
      </c>
    </row>
    <row r="29" spans="1:259" ht="19.95" customHeight="1" x14ac:dyDescent="0.3">
      <c r="A29" s="9">
        <v>26</v>
      </c>
      <c r="B29" s="3" t="s">
        <v>44</v>
      </c>
      <c r="C29" s="3" t="s">
        <v>45</v>
      </c>
      <c r="D29" s="8" t="s">
        <v>39</v>
      </c>
      <c r="E29" s="8" t="s">
        <v>39</v>
      </c>
      <c r="F29" s="8" t="s">
        <v>161</v>
      </c>
      <c r="G29" s="8" t="s">
        <v>158</v>
      </c>
      <c r="H29" s="8" t="s">
        <v>162</v>
      </c>
    </row>
    <row r="30" spans="1:259" ht="19.95" customHeight="1" x14ac:dyDescent="0.3">
      <c r="A30" s="9">
        <v>27</v>
      </c>
      <c r="B30" s="2" t="s">
        <v>47</v>
      </c>
      <c r="C30" s="2" t="s">
        <v>41</v>
      </c>
      <c r="D30" s="8" t="s">
        <v>39</v>
      </c>
      <c r="E30" s="8" t="s">
        <v>39</v>
      </c>
      <c r="F30" s="8" t="s">
        <v>161</v>
      </c>
      <c r="G30" s="8" t="s">
        <v>158</v>
      </c>
      <c r="H30" s="8" t="s">
        <v>162</v>
      </c>
    </row>
    <row r="31" spans="1:259" ht="19.95" customHeight="1" x14ac:dyDescent="0.3">
      <c r="A31" s="9">
        <v>28</v>
      </c>
      <c r="B31" s="3" t="s">
        <v>48</v>
      </c>
      <c r="C31" s="3" t="s">
        <v>49</v>
      </c>
      <c r="D31" s="8" t="s">
        <v>39</v>
      </c>
      <c r="E31" s="8" t="s">
        <v>39</v>
      </c>
      <c r="F31" s="8" t="s">
        <v>161</v>
      </c>
      <c r="G31" s="8" t="s">
        <v>158</v>
      </c>
      <c r="H31" s="8" t="s">
        <v>162</v>
      </c>
    </row>
    <row r="32" spans="1:259" ht="19.95" customHeight="1" x14ac:dyDescent="0.3">
      <c r="A32" s="9">
        <v>29</v>
      </c>
      <c r="B32" s="2" t="s">
        <v>50</v>
      </c>
      <c r="C32" s="2" t="s">
        <v>45</v>
      </c>
      <c r="D32" s="8" t="s">
        <v>39</v>
      </c>
      <c r="E32" s="8" t="s">
        <v>39</v>
      </c>
      <c r="F32" s="8" t="s">
        <v>161</v>
      </c>
      <c r="G32" s="8" t="s">
        <v>158</v>
      </c>
      <c r="H32" s="8" t="s">
        <v>162</v>
      </c>
    </row>
    <row r="33" spans="1:259" ht="19.95" customHeight="1" x14ac:dyDescent="0.3">
      <c r="A33" s="9">
        <v>30</v>
      </c>
      <c r="B33" s="3" t="s">
        <v>51</v>
      </c>
      <c r="C33" s="3" t="s">
        <v>45</v>
      </c>
      <c r="D33" s="8" t="s">
        <v>39</v>
      </c>
      <c r="E33" s="8" t="s">
        <v>39</v>
      </c>
      <c r="F33" s="8" t="s">
        <v>161</v>
      </c>
      <c r="G33" s="8" t="s">
        <v>158</v>
      </c>
      <c r="H33" s="8" t="s">
        <v>162</v>
      </c>
    </row>
    <row r="34" spans="1:259" ht="19.95" customHeight="1" x14ac:dyDescent="0.3">
      <c r="A34" s="9">
        <v>31</v>
      </c>
      <c r="B34" s="2" t="s">
        <v>52</v>
      </c>
      <c r="C34" s="2" t="s">
        <v>45</v>
      </c>
      <c r="D34" s="8" t="s">
        <v>39</v>
      </c>
      <c r="E34" s="8" t="s">
        <v>39</v>
      </c>
      <c r="F34" s="8" t="s">
        <v>161</v>
      </c>
      <c r="G34" s="8" t="s">
        <v>158</v>
      </c>
      <c r="H34" s="8" t="s">
        <v>162</v>
      </c>
    </row>
    <row r="35" spans="1:259" ht="19.95" customHeight="1" x14ac:dyDescent="0.3">
      <c r="A35" s="9">
        <v>32</v>
      </c>
      <c r="B35" s="3" t="s">
        <v>53</v>
      </c>
      <c r="C35" s="3" t="s">
        <v>41</v>
      </c>
      <c r="D35" s="8" t="s">
        <v>39</v>
      </c>
      <c r="E35" s="8" t="s">
        <v>39</v>
      </c>
      <c r="F35" s="8" t="s">
        <v>161</v>
      </c>
      <c r="G35" s="8" t="s">
        <v>158</v>
      </c>
      <c r="H35" s="8" t="s">
        <v>162</v>
      </c>
    </row>
    <row r="36" spans="1:259" ht="19.95" customHeight="1" x14ac:dyDescent="0.3">
      <c r="A36" s="9">
        <v>33</v>
      </c>
      <c r="B36" s="2" t="s">
        <v>54</v>
      </c>
      <c r="C36" s="2" t="s">
        <v>55</v>
      </c>
      <c r="D36" s="8" t="s">
        <v>39</v>
      </c>
      <c r="E36" s="8" t="s">
        <v>39</v>
      </c>
      <c r="F36" s="8" t="s">
        <v>161</v>
      </c>
      <c r="G36" s="8" t="s">
        <v>158</v>
      </c>
      <c r="H36" s="8" t="s">
        <v>162</v>
      </c>
    </row>
    <row r="37" spans="1:259" ht="19.95" customHeight="1" x14ac:dyDescent="0.3">
      <c r="A37" s="9">
        <v>34</v>
      </c>
      <c r="B37" s="3" t="s">
        <v>56</v>
      </c>
      <c r="C37" s="3" t="s">
        <v>55</v>
      </c>
      <c r="D37" s="8" t="s">
        <v>39</v>
      </c>
      <c r="E37" s="8" t="s">
        <v>39</v>
      </c>
      <c r="F37" s="8" t="s">
        <v>161</v>
      </c>
      <c r="G37" s="8" t="s">
        <v>158</v>
      </c>
      <c r="H37" s="8" t="s">
        <v>162</v>
      </c>
    </row>
    <row r="38" spans="1:259" ht="19.95" customHeight="1" x14ac:dyDescent="0.3">
      <c r="A38" s="9">
        <v>35</v>
      </c>
      <c r="B38" s="2" t="s">
        <v>57</v>
      </c>
      <c r="C38" s="2" t="s">
        <v>55</v>
      </c>
      <c r="D38" s="8" t="s">
        <v>39</v>
      </c>
      <c r="E38" s="8" t="s">
        <v>39</v>
      </c>
      <c r="F38" s="8" t="s">
        <v>161</v>
      </c>
      <c r="G38" s="8" t="s">
        <v>158</v>
      </c>
      <c r="H38" s="8" t="s">
        <v>162</v>
      </c>
    </row>
    <row r="39" spans="1:259" ht="19.95" customHeight="1" x14ac:dyDescent="0.3">
      <c r="A39" s="9">
        <v>36</v>
      </c>
      <c r="B39" s="3" t="s">
        <v>58</v>
      </c>
      <c r="C39" s="3" t="s">
        <v>55</v>
      </c>
      <c r="D39" s="8" t="s">
        <v>39</v>
      </c>
      <c r="E39" s="8" t="s">
        <v>39</v>
      </c>
      <c r="F39" s="8" t="s">
        <v>161</v>
      </c>
      <c r="G39" s="8" t="s">
        <v>158</v>
      </c>
      <c r="H39" s="8" t="s">
        <v>162</v>
      </c>
    </row>
    <row r="40" spans="1:259" ht="19.95" customHeight="1" x14ac:dyDescent="0.3">
      <c r="A40" s="9">
        <v>37</v>
      </c>
      <c r="B40" s="2" t="s">
        <v>59</v>
      </c>
      <c r="C40" s="2" t="s">
        <v>55</v>
      </c>
      <c r="D40" s="8" t="s">
        <v>39</v>
      </c>
      <c r="E40" s="8" t="s">
        <v>39</v>
      </c>
      <c r="F40" s="8" t="s">
        <v>161</v>
      </c>
      <c r="G40" s="8" t="s">
        <v>158</v>
      </c>
      <c r="H40" s="8" t="s">
        <v>162</v>
      </c>
    </row>
    <row r="41" spans="1:259" ht="19.95" customHeight="1" x14ac:dyDescent="0.3">
      <c r="A41" s="9">
        <v>38</v>
      </c>
      <c r="B41" s="3" t="s">
        <v>60</v>
      </c>
      <c r="C41" s="3" t="s">
        <v>61</v>
      </c>
      <c r="D41" s="8" t="s">
        <v>39</v>
      </c>
      <c r="E41" s="8" t="s">
        <v>39</v>
      </c>
      <c r="F41" s="8" t="s">
        <v>161</v>
      </c>
      <c r="G41" s="8" t="s">
        <v>158</v>
      </c>
      <c r="H41" s="8" t="s">
        <v>162</v>
      </c>
    </row>
    <row r="42" spans="1:259" ht="19.95" customHeight="1" x14ac:dyDescent="0.3">
      <c r="A42" s="9">
        <v>39</v>
      </c>
      <c r="B42" s="2" t="s">
        <v>62</v>
      </c>
      <c r="C42" s="2" t="s">
        <v>67</v>
      </c>
      <c r="D42" s="8" t="s">
        <v>159</v>
      </c>
      <c r="E42" s="8" t="s">
        <v>159</v>
      </c>
      <c r="F42" s="8" t="s">
        <v>46</v>
      </c>
      <c r="G42" s="8" t="s">
        <v>158</v>
      </c>
      <c r="H42" s="8" t="s">
        <v>162</v>
      </c>
    </row>
    <row r="43" spans="1:259" s="5" customFormat="1" ht="19.95" customHeight="1" x14ac:dyDescent="0.3">
      <c r="A43" s="9">
        <v>40</v>
      </c>
      <c r="B43" s="4" t="s">
        <v>63</v>
      </c>
      <c r="C43" s="4" t="s">
        <v>64</v>
      </c>
      <c r="D43" s="4"/>
      <c r="E43" s="4"/>
      <c r="F43" s="4"/>
      <c r="G43" s="8" t="s">
        <v>158</v>
      </c>
      <c r="H43" s="8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</row>
    <row r="44" spans="1:259" s="7" customFormat="1" ht="45.6" x14ac:dyDescent="0.3">
      <c r="A44" s="9">
        <v>41</v>
      </c>
      <c r="B44" s="6" t="s">
        <v>65</v>
      </c>
      <c r="C44" s="19" t="s">
        <v>205</v>
      </c>
      <c r="D44" s="6" t="s">
        <v>193</v>
      </c>
      <c r="E44" s="19" t="s">
        <v>193</v>
      </c>
      <c r="F44" s="6"/>
      <c r="G44" s="8" t="s">
        <v>158</v>
      </c>
      <c r="H44" s="8"/>
      <c r="I44"/>
      <c r="J44" s="20" t="s">
        <v>207</v>
      </c>
      <c r="K44" s="18"/>
      <c r="L44" s="18"/>
      <c r="M44" s="18"/>
      <c r="N44" s="18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</row>
    <row r="45" spans="1:259" ht="19.95" customHeight="1" x14ac:dyDescent="0.3">
      <c r="A45" s="9">
        <v>42</v>
      </c>
      <c r="B45" s="3" t="s">
        <v>66</v>
      </c>
      <c r="C45" s="3" t="s">
        <v>67</v>
      </c>
      <c r="D45" s="3" t="s">
        <v>159</v>
      </c>
      <c r="E45" s="3" t="s">
        <v>159</v>
      </c>
      <c r="F45" s="3" t="s">
        <v>46</v>
      </c>
      <c r="G45" s="8" t="s">
        <v>158</v>
      </c>
      <c r="H45" s="8" t="s">
        <v>162</v>
      </c>
    </row>
    <row r="46" spans="1:259" ht="19.95" customHeight="1" x14ac:dyDescent="0.3">
      <c r="A46" s="9">
        <v>43</v>
      </c>
      <c r="B46" s="2" t="s">
        <v>69</v>
      </c>
      <c r="C46" s="2" t="s">
        <v>70</v>
      </c>
      <c r="D46" s="8" t="s">
        <v>68</v>
      </c>
      <c r="E46" s="8" t="s">
        <v>68</v>
      </c>
      <c r="F46" s="8" t="s">
        <v>46</v>
      </c>
      <c r="G46" s="8" t="s">
        <v>158</v>
      </c>
      <c r="H46" s="8" t="s">
        <v>162</v>
      </c>
    </row>
    <row r="47" spans="1:259" ht="19.95" customHeight="1" x14ac:dyDescent="0.3">
      <c r="A47" s="9">
        <v>44</v>
      </c>
      <c r="B47" s="3" t="s">
        <v>71</v>
      </c>
      <c r="C47" s="3" t="s">
        <v>70</v>
      </c>
      <c r="D47" s="8" t="s">
        <v>68</v>
      </c>
      <c r="E47" s="8" t="s">
        <v>68</v>
      </c>
      <c r="F47" s="8" t="s">
        <v>46</v>
      </c>
      <c r="G47" s="8" t="s">
        <v>158</v>
      </c>
      <c r="H47" s="8" t="s">
        <v>162</v>
      </c>
    </row>
    <row r="48" spans="1:259" ht="19.95" customHeight="1" x14ac:dyDescent="0.3">
      <c r="A48" s="9">
        <v>45</v>
      </c>
      <c r="B48" s="2" t="s">
        <v>72</v>
      </c>
      <c r="C48" s="2" t="s">
        <v>67</v>
      </c>
      <c r="D48" s="8" t="s">
        <v>159</v>
      </c>
      <c r="E48" s="8" t="s">
        <v>159</v>
      </c>
      <c r="F48" s="8" t="s">
        <v>46</v>
      </c>
      <c r="G48" s="8" t="s">
        <v>158</v>
      </c>
      <c r="H48" s="8" t="s">
        <v>162</v>
      </c>
    </row>
    <row r="49" spans="1:8" ht="19.95" customHeight="1" x14ac:dyDescent="0.3">
      <c r="A49" s="9">
        <v>46</v>
      </c>
      <c r="B49" s="3" t="s">
        <v>73</v>
      </c>
      <c r="C49" s="3" t="s">
        <v>70</v>
      </c>
      <c r="D49" s="8" t="s">
        <v>68</v>
      </c>
      <c r="E49" s="8" t="s">
        <v>68</v>
      </c>
      <c r="F49" s="8" t="s">
        <v>46</v>
      </c>
      <c r="G49" s="8" t="s">
        <v>158</v>
      </c>
      <c r="H49" s="8" t="s">
        <v>162</v>
      </c>
    </row>
    <row r="50" spans="1:8" ht="19.95" customHeight="1" x14ac:dyDescent="0.3">
      <c r="A50" s="9">
        <v>47</v>
      </c>
      <c r="B50" s="2" t="s">
        <v>74</v>
      </c>
      <c r="C50" s="2" t="s">
        <v>70</v>
      </c>
      <c r="D50" s="8" t="s">
        <v>68</v>
      </c>
      <c r="E50" s="8" t="s">
        <v>68</v>
      </c>
      <c r="F50" s="8" t="s">
        <v>46</v>
      </c>
      <c r="G50" s="8" t="s">
        <v>158</v>
      </c>
      <c r="H50" s="8" t="s">
        <v>162</v>
      </c>
    </row>
    <row r="51" spans="1:8" ht="19.95" customHeight="1" x14ac:dyDescent="0.3">
      <c r="A51" s="9">
        <v>48</v>
      </c>
      <c r="B51" s="3" t="s">
        <v>75</v>
      </c>
      <c r="C51" s="3" t="s">
        <v>76</v>
      </c>
      <c r="D51" s="8" t="s">
        <v>68</v>
      </c>
      <c r="E51" s="8" t="s">
        <v>68</v>
      </c>
      <c r="F51" s="8" t="s">
        <v>46</v>
      </c>
      <c r="G51" s="8" t="s">
        <v>158</v>
      </c>
      <c r="H51" s="8" t="s">
        <v>162</v>
      </c>
    </row>
    <row r="52" spans="1:8" ht="19.95" customHeight="1" x14ac:dyDescent="0.3">
      <c r="A52" s="9">
        <v>49</v>
      </c>
      <c r="B52" s="3" t="s">
        <v>78</v>
      </c>
      <c r="C52" s="3" t="s">
        <v>134</v>
      </c>
      <c r="D52" s="8" t="s">
        <v>186</v>
      </c>
      <c r="E52" s="8" t="s">
        <v>186</v>
      </c>
      <c r="F52" s="8" t="s">
        <v>171</v>
      </c>
      <c r="G52" s="8" t="s">
        <v>186</v>
      </c>
      <c r="H52" s="8" t="s">
        <v>27</v>
      </c>
    </row>
    <row r="53" spans="1:8" ht="19.95" customHeight="1" x14ac:dyDescent="0.3">
      <c r="A53" s="9">
        <v>50</v>
      </c>
      <c r="B53" s="2" t="s">
        <v>79</v>
      </c>
      <c r="C53" s="2" t="s">
        <v>134</v>
      </c>
      <c r="D53" s="8" t="s">
        <v>186</v>
      </c>
      <c r="E53" s="8" t="s">
        <v>186</v>
      </c>
      <c r="F53" s="8" t="s">
        <v>171</v>
      </c>
      <c r="G53" s="8" t="s">
        <v>186</v>
      </c>
      <c r="H53" s="8" t="s">
        <v>27</v>
      </c>
    </row>
    <row r="54" spans="1:8" ht="19.95" customHeight="1" x14ac:dyDescent="0.3">
      <c r="A54" s="9">
        <v>51</v>
      </c>
      <c r="B54" s="3" t="s">
        <v>80</v>
      </c>
      <c r="C54" s="3" t="s">
        <v>70</v>
      </c>
      <c r="D54" s="8" t="s">
        <v>68</v>
      </c>
      <c r="E54" s="8" t="s">
        <v>68</v>
      </c>
      <c r="F54" s="8" t="s">
        <v>46</v>
      </c>
      <c r="G54" s="8" t="s">
        <v>158</v>
      </c>
      <c r="H54" s="8" t="s">
        <v>162</v>
      </c>
    </row>
    <row r="55" spans="1:8" ht="19.95" customHeight="1" x14ac:dyDescent="0.3">
      <c r="A55" s="9">
        <v>52</v>
      </c>
      <c r="B55" s="2" t="s">
        <v>81</v>
      </c>
      <c r="C55" s="2" t="s">
        <v>70</v>
      </c>
      <c r="D55" s="8" t="s">
        <v>68</v>
      </c>
      <c r="E55" s="8" t="s">
        <v>68</v>
      </c>
      <c r="F55" s="8" t="s">
        <v>46</v>
      </c>
      <c r="G55" s="8" t="s">
        <v>158</v>
      </c>
      <c r="H55" s="8" t="s">
        <v>162</v>
      </c>
    </row>
    <row r="56" spans="1:8" ht="19.95" customHeight="1" x14ac:dyDescent="0.3">
      <c r="A56" s="9">
        <v>53</v>
      </c>
      <c r="B56" s="3" t="s">
        <v>82</v>
      </c>
      <c r="C56" s="3" t="s">
        <v>70</v>
      </c>
      <c r="D56" s="8" t="s">
        <v>68</v>
      </c>
      <c r="E56" s="8" t="s">
        <v>68</v>
      </c>
      <c r="F56" s="8" t="s">
        <v>46</v>
      </c>
      <c r="G56" s="8" t="s">
        <v>158</v>
      </c>
      <c r="H56" s="8" t="s">
        <v>162</v>
      </c>
    </row>
    <row r="57" spans="1:8" ht="19.95" customHeight="1" x14ac:dyDescent="0.3">
      <c r="A57" s="9">
        <v>54</v>
      </c>
      <c r="B57" s="2" t="s">
        <v>83</v>
      </c>
      <c r="C57" s="2" t="s">
        <v>70</v>
      </c>
      <c r="D57" s="8" t="s">
        <v>68</v>
      </c>
      <c r="E57" s="8" t="s">
        <v>68</v>
      </c>
      <c r="F57" s="8" t="s">
        <v>46</v>
      </c>
      <c r="G57" s="8" t="s">
        <v>158</v>
      </c>
      <c r="H57" s="8" t="s">
        <v>162</v>
      </c>
    </row>
    <row r="58" spans="1:8" ht="19.95" customHeight="1" x14ac:dyDescent="0.3">
      <c r="A58" s="9">
        <v>55</v>
      </c>
      <c r="B58" s="3" t="s">
        <v>84</v>
      </c>
      <c r="C58" s="3" t="s">
        <v>70</v>
      </c>
      <c r="D58" s="8" t="s">
        <v>68</v>
      </c>
      <c r="E58" s="8" t="s">
        <v>68</v>
      </c>
      <c r="F58" s="8" t="s">
        <v>46</v>
      </c>
      <c r="G58" s="8" t="s">
        <v>158</v>
      </c>
      <c r="H58" s="8" t="s">
        <v>162</v>
      </c>
    </row>
    <row r="59" spans="1:8" ht="19.95" customHeight="1" x14ac:dyDescent="0.3">
      <c r="A59" s="9">
        <v>56</v>
      </c>
      <c r="B59" s="2" t="s">
        <v>85</v>
      </c>
      <c r="C59" s="2" t="s">
        <v>70</v>
      </c>
      <c r="D59" s="8" t="s">
        <v>68</v>
      </c>
      <c r="E59" s="8" t="s">
        <v>68</v>
      </c>
      <c r="F59" s="8" t="s">
        <v>46</v>
      </c>
      <c r="G59" s="8" t="s">
        <v>158</v>
      </c>
      <c r="H59" s="8" t="s">
        <v>162</v>
      </c>
    </row>
    <row r="60" spans="1:8" ht="19.95" customHeight="1" x14ac:dyDescent="0.3">
      <c r="A60" s="9">
        <v>57</v>
      </c>
      <c r="B60" s="3" t="s">
        <v>86</v>
      </c>
      <c r="C60" s="3" t="s">
        <v>163</v>
      </c>
      <c r="D60" s="8" t="s">
        <v>68</v>
      </c>
      <c r="E60" s="8" t="s">
        <v>68</v>
      </c>
      <c r="F60" s="8" t="s">
        <v>46</v>
      </c>
      <c r="G60" s="8" t="s">
        <v>158</v>
      </c>
      <c r="H60" s="8" t="s">
        <v>162</v>
      </c>
    </row>
    <row r="61" spans="1:8" ht="19.95" customHeight="1" x14ac:dyDescent="0.3">
      <c r="A61" s="9">
        <v>58</v>
      </c>
      <c r="B61" s="2" t="s">
        <v>87</v>
      </c>
      <c r="C61" s="2" t="s">
        <v>76</v>
      </c>
      <c r="D61" s="8" t="s">
        <v>68</v>
      </c>
      <c r="E61" s="8" t="s">
        <v>68</v>
      </c>
      <c r="F61" s="8" t="s">
        <v>46</v>
      </c>
      <c r="G61" s="8" t="s">
        <v>158</v>
      </c>
      <c r="H61" s="8" t="s">
        <v>162</v>
      </c>
    </row>
    <row r="62" spans="1:8" ht="19.95" customHeight="1" x14ac:dyDescent="0.3">
      <c r="A62" s="9">
        <v>59</v>
      </c>
      <c r="B62" s="3" t="s">
        <v>88</v>
      </c>
      <c r="C62" s="3" t="s">
        <v>89</v>
      </c>
      <c r="D62" s="8" t="s">
        <v>77</v>
      </c>
      <c r="E62" s="8" t="s">
        <v>77</v>
      </c>
      <c r="F62" s="8" t="s">
        <v>46</v>
      </c>
      <c r="G62" s="8" t="s">
        <v>158</v>
      </c>
      <c r="H62" s="8" t="s">
        <v>162</v>
      </c>
    </row>
    <row r="63" spans="1:8" ht="19.95" customHeight="1" x14ac:dyDescent="0.3">
      <c r="A63" s="9">
        <v>60</v>
      </c>
      <c r="B63" s="2" t="s">
        <v>90</v>
      </c>
      <c r="C63" s="2" t="s">
        <v>91</v>
      </c>
      <c r="D63" s="8" t="s">
        <v>77</v>
      </c>
      <c r="E63" s="8" t="s">
        <v>77</v>
      </c>
      <c r="F63" s="8" t="s">
        <v>46</v>
      </c>
      <c r="G63" s="8" t="s">
        <v>158</v>
      </c>
      <c r="H63" s="8" t="s">
        <v>162</v>
      </c>
    </row>
    <row r="64" spans="1:8" ht="19.95" customHeight="1" x14ac:dyDescent="0.3">
      <c r="A64" s="9">
        <v>61</v>
      </c>
      <c r="B64" s="3" t="s">
        <v>92</v>
      </c>
      <c r="C64" s="3" t="s">
        <v>93</v>
      </c>
      <c r="D64" s="8" t="s">
        <v>159</v>
      </c>
      <c r="E64" s="8" t="s">
        <v>159</v>
      </c>
      <c r="F64" s="8" t="s">
        <v>46</v>
      </c>
      <c r="G64" s="8" t="s">
        <v>158</v>
      </c>
      <c r="H64" s="8" t="s">
        <v>162</v>
      </c>
    </row>
    <row r="65" spans="1:259" ht="19.95" customHeight="1" x14ac:dyDescent="0.3">
      <c r="A65" s="9">
        <v>62</v>
      </c>
      <c r="B65" s="2" t="s">
        <v>94</v>
      </c>
      <c r="C65" s="2" t="s">
        <v>95</v>
      </c>
      <c r="D65" s="8" t="s">
        <v>159</v>
      </c>
      <c r="E65" s="8" t="s">
        <v>159</v>
      </c>
      <c r="F65" s="8" t="s">
        <v>46</v>
      </c>
      <c r="G65" s="8" t="s">
        <v>158</v>
      </c>
      <c r="H65" s="8" t="s">
        <v>162</v>
      </c>
    </row>
    <row r="66" spans="1:259" ht="19.95" customHeight="1" x14ac:dyDescent="0.3">
      <c r="A66" s="9">
        <v>63</v>
      </c>
      <c r="B66" s="3" t="s">
        <v>96</v>
      </c>
      <c r="C66" s="3" t="s">
        <v>93</v>
      </c>
      <c r="D66" s="8" t="s">
        <v>159</v>
      </c>
      <c r="E66" s="8" t="s">
        <v>159</v>
      </c>
      <c r="F66" s="8" t="s">
        <v>46</v>
      </c>
      <c r="G66" s="8" t="s">
        <v>158</v>
      </c>
      <c r="H66" s="8" t="s">
        <v>162</v>
      </c>
    </row>
    <row r="67" spans="1:259" ht="19.95" customHeight="1" x14ac:dyDescent="0.3">
      <c r="A67" s="9">
        <v>64</v>
      </c>
      <c r="B67" s="2" t="s">
        <v>97</v>
      </c>
      <c r="C67" s="2" t="s">
        <v>98</v>
      </c>
      <c r="D67" s="8" t="s">
        <v>159</v>
      </c>
      <c r="E67" s="8" t="s">
        <v>159</v>
      </c>
      <c r="F67" s="8" t="s">
        <v>46</v>
      </c>
      <c r="G67" s="8" t="s">
        <v>158</v>
      </c>
      <c r="H67" s="8" t="s">
        <v>162</v>
      </c>
    </row>
    <row r="68" spans="1:259" ht="19.95" customHeight="1" x14ac:dyDescent="0.3">
      <c r="A68" s="9">
        <v>65</v>
      </c>
      <c r="B68" s="3" t="s">
        <v>99</v>
      </c>
      <c r="C68" s="3" t="s">
        <v>98</v>
      </c>
      <c r="D68" s="8" t="s">
        <v>159</v>
      </c>
      <c r="E68" s="8" t="s">
        <v>159</v>
      </c>
      <c r="F68" s="8" t="s">
        <v>46</v>
      </c>
      <c r="G68" s="8" t="s">
        <v>158</v>
      </c>
      <c r="H68" s="8" t="s">
        <v>162</v>
      </c>
    </row>
    <row r="69" spans="1:259" ht="19.95" customHeight="1" x14ac:dyDescent="0.3">
      <c r="A69" s="9">
        <v>66</v>
      </c>
      <c r="B69" s="2" t="s">
        <v>100</v>
      </c>
      <c r="C69" s="2" t="s">
        <v>91</v>
      </c>
      <c r="D69" s="8" t="s">
        <v>77</v>
      </c>
      <c r="E69" s="8" t="s">
        <v>77</v>
      </c>
      <c r="F69" s="8" t="s">
        <v>46</v>
      </c>
      <c r="G69" s="8" t="s">
        <v>158</v>
      </c>
      <c r="H69" s="8" t="s">
        <v>162</v>
      </c>
    </row>
    <row r="70" spans="1:259" ht="19.95" customHeight="1" x14ac:dyDescent="0.3">
      <c r="A70" s="9">
        <v>67</v>
      </c>
      <c r="B70" s="3" t="s">
        <v>101</v>
      </c>
      <c r="C70" s="3" t="s">
        <v>93</v>
      </c>
      <c r="D70" s="8" t="s">
        <v>159</v>
      </c>
      <c r="E70" s="8" t="s">
        <v>159</v>
      </c>
      <c r="F70" s="8" t="s">
        <v>46</v>
      </c>
      <c r="G70" s="8" t="s">
        <v>158</v>
      </c>
      <c r="H70" s="8" t="s">
        <v>162</v>
      </c>
    </row>
    <row r="71" spans="1:259" ht="19.95" customHeight="1" x14ac:dyDescent="0.3">
      <c r="A71" s="9">
        <v>68</v>
      </c>
      <c r="B71" s="2" t="s">
        <v>102</v>
      </c>
      <c r="C71" s="2" t="s">
        <v>93</v>
      </c>
      <c r="D71" s="8" t="s">
        <v>159</v>
      </c>
      <c r="E71" s="8" t="s">
        <v>159</v>
      </c>
      <c r="F71" s="8" t="s">
        <v>46</v>
      </c>
      <c r="G71" s="8" t="s">
        <v>158</v>
      </c>
      <c r="H71" s="8" t="s">
        <v>162</v>
      </c>
    </row>
    <row r="72" spans="1:259" ht="19.95" customHeight="1" x14ac:dyDescent="0.3">
      <c r="A72" s="9">
        <v>69</v>
      </c>
      <c r="B72" s="3" t="s">
        <v>196</v>
      </c>
      <c r="C72" s="3" t="s">
        <v>93</v>
      </c>
      <c r="D72" s="8" t="s">
        <v>159</v>
      </c>
      <c r="E72" s="8" t="s">
        <v>159</v>
      </c>
      <c r="F72" s="8" t="s">
        <v>46</v>
      </c>
      <c r="G72" s="8" t="s">
        <v>158</v>
      </c>
      <c r="H72" s="8" t="s">
        <v>162</v>
      </c>
    </row>
    <row r="73" spans="1:259" ht="19.95" customHeight="1" x14ac:dyDescent="0.3">
      <c r="A73" s="9">
        <v>70</v>
      </c>
      <c r="B73" s="3" t="s">
        <v>103</v>
      </c>
      <c r="C73" s="3" t="s">
        <v>95</v>
      </c>
      <c r="D73" s="8" t="s">
        <v>159</v>
      </c>
      <c r="E73" s="8" t="s">
        <v>159</v>
      </c>
      <c r="F73" s="8" t="s">
        <v>46</v>
      </c>
      <c r="G73" s="8" t="s">
        <v>158</v>
      </c>
      <c r="H73" s="8" t="s">
        <v>162</v>
      </c>
    </row>
    <row r="74" spans="1:259" s="5" customFormat="1" ht="54" customHeight="1" x14ac:dyDescent="0.3">
      <c r="A74" s="9">
        <v>71</v>
      </c>
      <c r="B74" s="4" t="s">
        <v>104</v>
      </c>
      <c r="C74" s="21" t="s">
        <v>191</v>
      </c>
      <c r="D74" s="4"/>
      <c r="E74" s="4"/>
      <c r="F74" s="4"/>
      <c r="G74" s="21" t="s">
        <v>192</v>
      </c>
      <c r="H74" s="8"/>
      <c r="I74"/>
      <c r="J74" s="20" t="s">
        <v>206</v>
      </c>
      <c r="K74" s="18"/>
      <c r="L74" s="18"/>
      <c r="M74" s="18"/>
      <c r="N74" s="18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</row>
    <row r="75" spans="1:259" s="7" customFormat="1" ht="19.95" customHeight="1" x14ac:dyDescent="0.3">
      <c r="A75" s="9">
        <v>72</v>
      </c>
      <c r="B75" s="6" t="s">
        <v>105</v>
      </c>
      <c r="C75" s="6" t="s">
        <v>106</v>
      </c>
      <c r="D75" s="6" t="s">
        <v>164</v>
      </c>
      <c r="E75" s="6" t="s">
        <v>164</v>
      </c>
      <c r="F75" s="6" t="s">
        <v>173</v>
      </c>
      <c r="G75" s="8" t="s">
        <v>176</v>
      </c>
      <c r="H75" s="8" t="s">
        <v>116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</row>
    <row r="76" spans="1:259" s="5" customFormat="1" ht="19.95" customHeight="1" x14ac:dyDescent="0.3">
      <c r="A76" s="9">
        <v>73</v>
      </c>
      <c r="B76" s="4" t="s">
        <v>107</v>
      </c>
      <c r="C76" s="4" t="s">
        <v>168</v>
      </c>
      <c r="D76" s="4" t="str">
        <f>G76</f>
        <v>Sales Region 1 &amp; 2</v>
      </c>
      <c r="E76" s="4" t="str">
        <f>D76</f>
        <v>Sales Region 1 &amp; 2</v>
      </c>
      <c r="F76" s="4"/>
      <c r="G76" s="8" t="s">
        <v>176</v>
      </c>
      <c r="H76" s="8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</row>
    <row r="77" spans="1:259" s="7" customFormat="1" ht="19.95" customHeight="1" x14ac:dyDescent="0.3">
      <c r="A77" s="9">
        <v>74</v>
      </c>
      <c r="B77" s="6" t="s">
        <v>108</v>
      </c>
      <c r="C77" s="6" t="s">
        <v>109</v>
      </c>
      <c r="D77" s="6" t="s">
        <v>165</v>
      </c>
      <c r="E77" s="6" t="s">
        <v>165</v>
      </c>
      <c r="F77" s="6" t="s">
        <v>173</v>
      </c>
      <c r="G77" s="8" t="s">
        <v>176</v>
      </c>
      <c r="H77" s="8" t="s">
        <v>116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</row>
    <row r="78" spans="1:259" ht="19.95" customHeight="1" x14ac:dyDescent="0.3">
      <c r="A78" s="9">
        <v>75</v>
      </c>
      <c r="B78" s="2" t="s">
        <v>110</v>
      </c>
      <c r="C78" s="2" t="s">
        <v>111</v>
      </c>
      <c r="D78" s="8" t="s">
        <v>167</v>
      </c>
      <c r="E78" s="8" t="s">
        <v>167</v>
      </c>
      <c r="F78" s="8" t="s">
        <v>172</v>
      </c>
      <c r="G78" s="8" t="s">
        <v>177</v>
      </c>
      <c r="H78" s="8" t="s">
        <v>178</v>
      </c>
    </row>
    <row r="79" spans="1:259" s="5" customFormat="1" ht="19.95" customHeight="1" x14ac:dyDescent="0.3">
      <c r="A79" s="9">
        <v>76</v>
      </c>
      <c r="B79" s="4" t="s">
        <v>112</v>
      </c>
      <c r="C79" s="4" t="s">
        <v>169</v>
      </c>
      <c r="D79" s="4" t="str">
        <f>G79</f>
        <v>Sales Region 3 &amp; 4</v>
      </c>
      <c r="E79" s="4" t="str">
        <f>D79</f>
        <v>Sales Region 3 &amp; 4</v>
      </c>
      <c r="F79" s="4"/>
      <c r="G79" s="8" t="s">
        <v>177</v>
      </c>
      <c r="H79" s="8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</row>
    <row r="80" spans="1:259" ht="19.95" customHeight="1" x14ac:dyDescent="0.3">
      <c r="A80" s="9">
        <v>77</v>
      </c>
      <c r="B80" s="2" t="s">
        <v>113</v>
      </c>
      <c r="C80" s="2" t="s">
        <v>114</v>
      </c>
      <c r="D80" s="8" t="s">
        <v>164</v>
      </c>
      <c r="E80" s="8" t="s">
        <v>164</v>
      </c>
      <c r="F80" s="8" t="s">
        <v>174</v>
      </c>
      <c r="G80" s="8" t="s">
        <v>176</v>
      </c>
      <c r="H80" s="8" t="s">
        <v>116</v>
      </c>
    </row>
    <row r="81" spans="1:8" ht="19.95" customHeight="1" x14ac:dyDescent="0.3">
      <c r="A81" s="9">
        <v>78</v>
      </c>
      <c r="B81" s="3" t="s">
        <v>117</v>
      </c>
      <c r="C81" s="3" t="s">
        <v>118</v>
      </c>
      <c r="D81" s="8" t="s">
        <v>165</v>
      </c>
      <c r="E81" s="8" t="s">
        <v>165</v>
      </c>
      <c r="F81" s="8" t="s">
        <v>115</v>
      </c>
      <c r="G81" s="8" t="s">
        <v>176</v>
      </c>
      <c r="H81" s="8" t="s">
        <v>116</v>
      </c>
    </row>
    <row r="82" spans="1:8" ht="19.95" customHeight="1" x14ac:dyDescent="0.3">
      <c r="A82" s="9">
        <v>79</v>
      </c>
      <c r="B82" s="2" t="s">
        <v>119</v>
      </c>
      <c r="C82" s="2" t="s">
        <v>118</v>
      </c>
      <c r="D82" s="8" t="s">
        <v>165</v>
      </c>
      <c r="E82" s="8" t="s">
        <v>165</v>
      </c>
      <c r="F82" s="8" t="s">
        <v>115</v>
      </c>
      <c r="G82" s="8" t="s">
        <v>176</v>
      </c>
      <c r="H82" s="8" t="s">
        <v>116</v>
      </c>
    </row>
    <row r="83" spans="1:8" ht="19.95" customHeight="1" x14ac:dyDescent="0.3">
      <c r="A83" s="9">
        <v>80</v>
      </c>
      <c r="B83" s="2" t="s">
        <v>121</v>
      </c>
      <c r="C83" s="2" t="s">
        <v>122</v>
      </c>
      <c r="D83" s="8" t="s">
        <v>164</v>
      </c>
      <c r="E83" s="8" t="s">
        <v>164</v>
      </c>
      <c r="F83" s="8" t="s">
        <v>174</v>
      </c>
      <c r="G83" s="8" t="s">
        <v>176</v>
      </c>
      <c r="H83" s="8" t="s">
        <v>116</v>
      </c>
    </row>
    <row r="84" spans="1:8" ht="19.95" customHeight="1" x14ac:dyDescent="0.3">
      <c r="A84" s="9">
        <v>81</v>
      </c>
      <c r="B84" s="3" t="s">
        <v>123</v>
      </c>
      <c r="C84" s="3" t="s">
        <v>114</v>
      </c>
      <c r="D84" s="8" t="s">
        <v>165</v>
      </c>
      <c r="E84" s="8" t="s">
        <v>165</v>
      </c>
      <c r="F84" s="8" t="s">
        <v>115</v>
      </c>
      <c r="G84" s="8" t="s">
        <v>176</v>
      </c>
      <c r="H84" s="8" t="s">
        <v>116</v>
      </c>
    </row>
    <row r="85" spans="1:8" ht="19.95" customHeight="1" x14ac:dyDescent="0.3">
      <c r="A85" s="9">
        <v>82</v>
      </c>
      <c r="B85" s="2" t="s">
        <v>124</v>
      </c>
      <c r="C85" s="2" t="s">
        <v>114</v>
      </c>
      <c r="D85" s="8" t="s">
        <v>165</v>
      </c>
      <c r="E85" s="8" t="s">
        <v>165</v>
      </c>
      <c r="F85" s="8" t="s">
        <v>115</v>
      </c>
      <c r="G85" s="8" t="s">
        <v>176</v>
      </c>
      <c r="H85" s="8" t="s">
        <v>116</v>
      </c>
    </row>
    <row r="86" spans="1:8" ht="19.95" customHeight="1" x14ac:dyDescent="0.3">
      <c r="A86" s="9">
        <v>83</v>
      </c>
      <c r="B86" s="2" t="s">
        <v>181</v>
      </c>
      <c r="C86" s="2" t="s">
        <v>114</v>
      </c>
      <c r="D86" s="8" t="s">
        <v>165</v>
      </c>
      <c r="E86" s="8" t="s">
        <v>165</v>
      </c>
      <c r="F86" s="8" t="s">
        <v>115</v>
      </c>
      <c r="G86" s="8" t="s">
        <v>176</v>
      </c>
      <c r="H86" s="8" t="s">
        <v>116</v>
      </c>
    </row>
    <row r="87" spans="1:8" ht="19.95" customHeight="1" x14ac:dyDescent="0.3">
      <c r="A87" s="9">
        <v>84</v>
      </c>
      <c r="B87" s="3" t="s">
        <v>125</v>
      </c>
      <c r="C87" s="3" t="s">
        <v>118</v>
      </c>
      <c r="D87" s="8" t="s">
        <v>165</v>
      </c>
      <c r="E87" s="8" t="s">
        <v>165</v>
      </c>
      <c r="F87" s="8" t="s">
        <v>115</v>
      </c>
      <c r="G87" s="8" t="s">
        <v>176</v>
      </c>
      <c r="H87" s="8" t="s">
        <v>116</v>
      </c>
    </row>
    <row r="88" spans="1:8" ht="19.95" customHeight="1" x14ac:dyDescent="0.3">
      <c r="A88" s="9">
        <v>85</v>
      </c>
      <c r="B88" s="2" t="s">
        <v>126</v>
      </c>
      <c r="C88" s="2" t="s">
        <v>122</v>
      </c>
      <c r="D88" s="8" t="s">
        <v>164</v>
      </c>
      <c r="E88" s="8" t="s">
        <v>164</v>
      </c>
      <c r="F88" s="8" t="s">
        <v>174</v>
      </c>
      <c r="G88" s="8" t="s">
        <v>176</v>
      </c>
      <c r="H88" s="8" t="s">
        <v>116</v>
      </c>
    </row>
    <row r="89" spans="1:8" ht="19.95" customHeight="1" x14ac:dyDescent="0.3">
      <c r="A89" s="9">
        <v>86</v>
      </c>
      <c r="B89" s="3" t="s">
        <v>127</v>
      </c>
      <c r="C89" s="3" t="s">
        <v>114</v>
      </c>
      <c r="D89" s="8" t="s">
        <v>165</v>
      </c>
      <c r="E89" s="8" t="s">
        <v>165</v>
      </c>
      <c r="F89" s="8" t="s">
        <v>115</v>
      </c>
      <c r="G89" s="8" t="s">
        <v>176</v>
      </c>
      <c r="H89" s="8" t="s">
        <v>116</v>
      </c>
    </row>
    <row r="90" spans="1:8" ht="19.95" customHeight="1" x14ac:dyDescent="0.3">
      <c r="A90" s="9">
        <v>87</v>
      </c>
      <c r="B90" s="2" t="s">
        <v>128</v>
      </c>
      <c r="C90" s="2" t="s">
        <v>122</v>
      </c>
      <c r="D90" s="8" t="s">
        <v>164</v>
      </c>
      <c r="E90" s="8" t="s">
        <v>164</v>
      </c>
      <c r="F90" s="8" t="s">
        <v>174</v>
      </c>
      <c r="G90" s="8" t="s">
        <v>176</v>
      </c>
      <c r="H90" s="8" t="s">
        <v>116</v>
      </c>
    </row>
    <row r="91" spans="1:8" ht="19.95" customHeight="1" x14ac:dyDescent="0.3">
      <c r="A91" s="9">
        <v>88</v>
      </c>
      <c r="B91" s="3" t="s">
        <v>129</v>
      </c>
      <c r="C91" s="3" t="s">
        <v>118</v>
      </c>
      <c r="D91" s="8" t="s">
        <v>165</v>
      </c>
      <c r="E91" s="8" t="s">
        <v>165</v>
      </c>
      <c r="F91" s="8" t="s">
        <v>115</v>
      </c>
      <c r="G91" s="8" t="s">
        <v>176</v>
      </c>
      <c r="H91" s="8" t="s">
        <v>116</v>
      </c>
    </row>
    <row r="92" spans="1:8" ht="19.95" customHeight="1" x14ac:dyDescent="0.3">
      <c r="A92" s="9">
        <v>89</v>
      </c>
      <c r="B92" s="2" t="s">
        <v>128</v>
      </c>
      <c r="C92" s="2" t="s">
        <v>122</v>
      </c>
      <c r="D92" s="8" t="s">
        <v>164</v>
      </c>
      <c r="E92" s="8" t="s">
        <v>164</v>
      </c>
      <c r="F92" s="8" t="s">
        <v>174</v>
      </c>
      <c r="G92" s="8" t="s">
        <v>176</v>
      </c>
      <c r="H92" s="8" t="s">
        <v>116</v>
      </c>
    </row>
    <row r="93" spans="1:8" ht="19.95" customHeight="1" x14ac:dyDescent="0.3">
      <c r="A93" s="9">
        <v>90</v>
      </c>
      <c r="B93" s="3" t="s">
        <v>130</v>
      </c>
      <c r="C93" s="3" t="s">
        <v>120</v>
      </c>
      <c r="D93" s="8" t="s">
        <v>166</v>
      </c>
      <c r="E93" s="8" t="s">
        <v>166</v>
      </c>
      <c r="F93" s="8" t="s">
        <v>172</v>
      </c>
      <c r="G93" s="8" t="s">
        <v>177</v>
      </c>
      <c r="H93" s="8" t="s">
        <v>178</v>
      </c>
    </row>
    <row r="94" spans="1:8" ht="19.95" customHeight="1" x14ac:dyDescent="0.3">
      <c r="A94" s="9">
        <v>91</v>
      </c>
      <c r="B94" s="2" t="s">
        <v>131</v>
      </c>
      <c r="C94" s="2" t="s">
        <v>118</v>
      </c>
      <c r="D94" s="8" t="s">
        <v>165</v>
      </c>
      <c r="E94" s="8" t="s">
        <v>165</v>
      </c>
      <c r="F94" s="8" t="s">
        <v>115</v>
      </c>
      <c r="G94" s="8" t="s">
        <v>176</v>
      </c>
      <c r="H94" s="8" t="s">
        <v>116</v>
      </c>
    </row>
    <row r="95" spans="1:8" ht="19.95" customHeight="1" x14ac:dyDescent="0.3">
      <c r="A95" s="9">
        <v>92</v>
      </c>
      <c r="B95" s="3" t="s">
        <v>135</v>
      </c>
      <c r="C95" s="3" t="s">
        <v>120</v>
      </c>
      <c r="D95" s="8" t="s">
        <v>166</v>
      </c>
      <c r="E95" s="8" t="s">
        <v>166</v>
      </c>
      <c r="F95" s="8" t="s">
        <v>172</v>
      </c>
      <c r="G95" s="8" t="s">
        <v>177</v>
      </c>
      <c r="H95" s="8" t="s">
        <v>178</v>
      </c>
    </row>
    <row r="96" spans="1:8" ht="19.95" customHeight="1" x14ac:dyDescent="0.3">
      <c r="A96" s="9">
        <v>93</v>
      </c>
      <c r="B96" s="2" t="s">
        <v>136</v>
      </c>
      <c r="C96" s="2" t="s">
        <v>111</v>
      </c>
      <c r="D96" s="8" t="s">
        <v>167</v>
      </c>
      <c r="E96" s="8" t="s">
        <v>167</v>
      </c>
      <c r="F96" s="8" t="s">
        <v>172</v>
      </c>
      <c r="G96" s="8" t="s">
        <v>177</v>
      </c>
      <c r="H96" s="8" t="s">
        <v>178</v>
      </c>
    </row>
    <row r="97" ht="18" customHeight="1" x14ac:dyDescent="0.3"/>
    <row r="98" ht="18" customHeight="1" x14ac:dyDescent="0.3"/>
  </sheetData>
  <autoFilter ref="C1:C96" xr:uid="{00000000-0001-0000-0000-000000000000}"/>
  <mergeCells count="4">
    <mergeCell ref="A1:H1"/>
    <mergeCell ref="K7:O7"/>
    <mergeCell ref="J44:N44"/>
    <mergeCell ref="J74:N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D10A-62B0-4589-A113-CAF58A44E46F}">
  <dimension ref="C1:F17"/>
  <sheetViews>
    <sheetView zoomScale="91" workbookViewId="0">
      <selection activeCell="D20" sqref="D20"/>
    </sheetView>
  </sheetViews>
  <sheetFormatPr defaultRowHeight="14.4" x14ac:dyDescent="0.3"/>
  <cols>
    <col min="3" max="3" width="4.88671875" customWidth="1"/>
    <col min="4" max="4" width="33.109375" customWidth="1"/>
    <col min="5" max="5" width="36.33203125" customWidth="1"/>
    <col min="6" max="6" width="11.44140625" customWidth="1"/>
  </cols>
  <sheetData>
    <row r="1" spans="3:6" ht="34.049999999999997" customHeight="1" x14ac:dyDescent="0.3">
      <c r="C1" s="15" t="s">
        <v>147</v>
      </c>
      <c r="D1" s="15"/>
      <c r="E1" s="15"/>
      <c r="F1" s="15"/>
    </row>
    <row r="2" spans="3:6" ht="15.6" x14ac:dyDescent="0.3">
      <c r="C2" s="12" t="s">
        <v>1</v>
      </c>
      <c r="D2" s="12" t="s">
        <v>148</v>
      </c>
      <c r="E2" s="12" t="s">
        <v>149</v>
      </c>
      <c r="F2" s="12" t="s">
        <v>150</v>
      </c>
    </row>
    <row r="3" spans="3:6" ht="16.05" customHeight="1" x14ac:dyDescent="0.3">
      <c r="C3" s="10">
        <v>1</v>
      </c>
      <c r="D3" s="10" t="s">
        <v>143</v>
      </c>
      <c r="E3" s="10" t="s">
        <v>151</v>
      </c>
      <c r="F3" s="10"/>
    </row>
    <row r="4" spans="3:6" ht="16.05" customHeight="1" x14ac:dyDescent="0.3">
      <c r="C4" s="10">
        <v>2</v>
      </c>
      <c r="D4" s="10" t="s">
        <v>152</v>
      </c>
      <c r="E4" s="10" t="s">
        <v>151</v>
      </c>
      <c r="F4" s="10"/>
    </row>
    <row r="5" spans="3:6" ht="16.05" customHeight="1" x14ac:dyDescent="0.3">
      <c r="C5" s="10">
        <v>3</v>
      </c>
      <c r="D5" s="10" t="s">
        <v>145</v>
      </c>
      <c r="E5" s="10" t="s">
        <v>151</v>
      </c>
      <c r="F5" s="10"/>
    </row>
    <row r="6" spans="3:6" ht="16.05" customHeight="1" x14ac:dyDescent="0.3">
      <c r="C6" s="10">
        <v>4</v>
      </c>
      <c r="D6" s="10" t="s">
        <v>197</v>
      </c>
      <c r="E6" s="10" t="s">
        <v>153</v>
      </c>
      <c r="F6" s="10"/>
    </row>
    <row r="7" spans="3:6" ht="16.05" customHeight="1" x14ac:dyDescent="0.3">
      <c r="C7" s="10">
        <v>5</v>
      </c>
      <c r="D7" s="11" t="s">
        <v>198</v>
      </c>
      <c r="E7" s="10" t="s">
        <v>153</v>
      </c>
      <c r="F7" s="10"/>
    </row>
    <row r="8" spans="3:6" ht="16.05" customHeight="1" x14ac:dyDescent="0.3">
      <c r="C8" s="10">
        <v>6</v>
      </c>
      <c r="D8" s="11" t="s">
        <v>154</v>
      </c>
      <c r="E8" s="10" t="s">
        <v>153</v>
      </c>
      <c r="F8" s="10"/>
    </row>
    <row r="9" spans="3:6" ht="16.05" customHeight="1" x14ac:dyDescent="0.3">
      <c r="C9" s="10">
        <v>7</v>
      </c>
      <c r="D9" s="11" t="s">
        <v>164</v>
      </c>
      <c r="E9" s="11" t="s">
        <v>176</v>
      </c>
      <c r="F9" s="10" t="s">
        <v>155</v>
      </c>
    </row>
    <row r="10" spans="3:6" ht="16.05" customHeight="1" x14ac:dyDescent="0.3">
      <c r="C10" s="10">
        <v>8</v>
      </c>
      <c r="D10" s="11" t="s">
        <v>165</v>
      </c>
      <c r="E10" s="11" t="s">
        <v>176</v>
      </c>
      <c r="F10" s="10" t="s">
        <v>155</v>
      </c>
    </row>
    <row r="11" spans="3:6" ht="16.05" customHeight="1" x14ac:dyDescent="0.3">
      <c r="C11" s="10">
        <v>9</v>
      </c>
      <c r="D11" s="11" t="s">
        <v>167</v>
      </c>
      <c r="E11" s="11" t="s">
        <v>177</v>
      </c>
      <c r="F11" s="10" t="s">
        <v>155</v>
      </c>
    </row>
    <row r="12" spans="3:6" ht="16.05" customHeight="1" x14ac:dyDescent="0.3">
      <c r="C12" s="10">
        <v>10</v>
      </c>
      <c r="D12" s="11" t="s">
        <v>166</v>
      </c>
      <c r="E12" s="11" t="s">
        <v>177</v>
      </c>
      <c r="F12" s="10" t="s">
        <v>155</v>
      </c>
    </row>
    <row r="13" spans="3:6" ht="16.05" customHeight="1" x14ac:dyDescent="0.3">
      <c r="C13" s="10">
        <v>11</v>
      </c>
      <c r="D13" s="11" t="s">
        <v>156</v>
      </c>
      <c r="E13" s="11" t="s">
        <v>156</v>
      </c>
      <c r="F13" s="10"/>
    </row>
    <row r="14" spans="3:6" ht="16.05" customHeight="1" x14ac:dyDescent="0.3">
      <c r="C14" s="10">
        <v>12</v>
      </c>
      <c r="D14" s="11" t="s">
        <v>157</v>
      </c>
      <c r="E14" s="11" t="s">
        <v>158</v>
      </c>
      <c r="F14" s="10"/>
    </row>
    <row r="15" spans="3:6" ht="16.05" customHeight="1" x14ac:dyDescent="0.3">
      <c r="C15" s="10">
        <v>13</v>
      </c>
      <c r="D15" s="11" t="s">
        <v>159</v>
      </c>
      <c r="E15" s="11" t="s">
        <v>158</v>
      </c>
      <c r="F15" s="10"/>
    </row>
    <row r="16" spans="3:6" ht="16.05" customHeight="1" x14ac:dyDescent="0.3">
      <c r="C16" s="10">
        <v>14</v>
      </c>
      <c r="D16" s="11" t="s">
        <v>39</v>
      </c>
      <c r="E16" s="11" t="s">
        <v>158</v>
      </c>
      <c r="F16" s="10"/>
    </row>
    <row r="17" spans="3:6" ht="16.05" customHeight="1" x14ac:dyDescent="0.3">
      <c r="C17" s="10">
        <v>15</v>
      </c>
      <c r="D17" s="11" t="s">
        <v>77</v>
      </c>
      <c r="E17" s="11" t="s">
        <v>158</v>
      </c>
      <c r="F17" s="10"/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Mapping (OK)</vt:lpstr>
      <vt:lpstr>Update Section &amp; 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Bahrialgi Fadillah</cp:lastModifiedBy>
  <dcterms:created xsi:type="dcterms:W3CDTF">2026-06-29T04:33:15Z</dcterms:created>
  <dcterms:modified xsi:type="dcterms:W3CDTF">2026-07-01T04:26:27Z</dcterms:modified>
</cp:coreProperties>
</file>